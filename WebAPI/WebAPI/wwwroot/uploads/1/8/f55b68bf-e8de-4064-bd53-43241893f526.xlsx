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i\Downloads\"/>
    </mc:Choice>
  </mc:AlternateContent>
  <xr:revisionPtr revIDLastSave="0" documentId="13_ncr:1_{34D0469B-D6C2-4741-8A26-ED4840E8E576}" xr6:coauthVersionLast="47" xr6:coauthVersionMax="47" xr10:uidLastSave="{00000000-0000-0000-0000-000000000000}"/>
  <bookViews>
    <workbookView xWindow="11424" yWindow="0" windowWidth="11712" windowHeight="12336" xr2:uid="{7D8D7B66-C05F-4D57-B8FB-A615FD1B4FA5}"/>
  </bookViews>
  <sheets>
    <sheet name="Arkusz1" sheetId="1" r:id="rId1"/>
  </sheets>
  <definedNames>
    <definedName name="_xlnm._FilterDatabase" localSheetId="0" hidden="1">Arkusz1!$B$1:$F$23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3" i="1" l="1"/>
  <c r="O62" i="1"/>
  <c r="O61" i="1"/>
  <c r="O60" i="1"/>
  <c r="O55" i="1"/>
  <c r="O54" i="1"/>
  <c r="O53" i="1"/>
  <c r="O52" i="1"/>
  <c r="O39" i="1"/>
  <c r="O38" i="1"/>
  <c r="O37" i="1"/>
  <c r="O36" i="1"/>
  <c r="O47" i="1"/>
  <c r="O46" i="1"/>
  <c r="O45" i="1"/>
  <c r="O44" i="1"/>
  <c r="O31" i="1"/>
  <c r="O30" i="1"/>
  <c r="O29" i="1"/>
  <c r="O28" i="1"/>
  <c r="F47" i="1"/>
  <c r="F46" i="1"/>
  <c r="F45" i="1"/>
  <c r="F44" i="1"/>
  <c r="F39" i="1"/>
  <c r="F38" i="1"/>
  <c r="F37" i="1"/>
  <c r="F36" i="1"/>
  <c r="F31" i="1"/>
  <c r="F30" i="1"/>
  <c r="F29" i="1"/>
  <c r="F28" i="1"/>
  <c r="J1" i="1"/>
  <c r="P46" i="1" l="1"/>
  <c r="P60" i="1"/>
  <c r="P61" i="1"/>
  <c r="P62" i="1"/>
  <c r="P63" i="1"/>
  <c r="P44" i="1"/>
  <c r="P45" i="1"/>
  <c r="P47" i="1"/>
  <c r="P36" i="1"/>
  <c r="P37" i="1"/>
  <c r="P54" i="1"/>
  <c r="P38" i="1"/>
  <c r="P39" i="1"/>
  <c r="P52" i="1"/>
  <c r="P53" i="1"/>
  <c r="P55" i="1"/>
  <c r="P28" i="1"/>
  <c r="P29" i="1"/>
  <c r="P30" i="1"/>
  <c r="P31" i="1"/>
  <c r="G45" i="1"/>
  <c r="G44" i="1"/>
  <c r="G46" i="1"/>
  <c r="G47" i="1"/>
  <c r="G37" i="1"/>
  <c r="G38" i="1"/>
  <c r="G36" i="1"/>
  <c r="G39" i="1"/>
  <c r="G31" i="1"/>
  <c r="G28" i="1"/>
  <c r="G30" i="1"/>
  <c r="G29" i="1"/>
</calcChain>
</file>

<file path=xl/sharedStrings.xml><?xml version="1.0" encoding="utf-8"?>
<sst xmlns="http://schemas.openxmlformats.org/spreadsheetml/2006/main" count="228" uniqueCount="41">
  <si>
    <t>Wiek</t>
  </si>
  <si>
    <t>Wada_wzroku</t>
  </si>
  <si>
    <t>Astygmatyzm</t>
  </si>
  <si>
    <t>mlody</t>
  </si>
  <si>
    <t>krotkowidz</t>
  </si>
  <si>
    <t>nie</t>
  </si>
  <si>
    <t>normalne</t>
  </si>
  <si>
    <t>miekkie</t>
  </si>
  <si>
    <t>dalekowidz</t>
  </si>
  <si>
    <t>tak</t>
  </si>
  <si>
    <t>twarde</t>
  </si>
  <si>
    <t>zmniejszone</t>
  </si>
  <si>
    <t>brak</t>
  </si>
  <si>
    <t>prestarczy</t>
  </si>
  <si>
    <t>starczy</t>
  </si>
  <si>
    <t xml:space="preserve">Lzawienie </t>
  </si>
  <si>
    <t>SOCZEWKI</t>
  </si>
  <si>
    <t>Regula 1</t>
  </si>
  <si>
    <t>wiek</t>
  </si>
  <si>
    <t>wada</t>
  </si>
  <si>
    <t>ast</t>
  </si>
  <si>
    <t>lzawienie</t>
  </si>
  <si>
    <t>Ep</t>
  </si>
  <si>
    <t>Ep+Eb</t>
  </si>
  <si>
    <t>A</t>
  </si>
  <si>
    <t>H</t>
  </si>
  <si>
    <t>Regula 2</t>
  </si>
  <si>
    <t>Jeżeli wiek = mlody oraz astygmatyzm = tak oraz lzawienie = normalne to SOCZEWKI = twarde</t>
  </si>
  <si>
    <t>Regula 3</t>
  </si>
  <si>
    <t xml:space="preserve">Jeżeli lzawienia = zmniejszone to SOCZEWKI = brak </t>
  </si>
  <si>
    <t>Regula 4</t>
  </si>
  <si>
    <t>Regula 5</t>
  </si>
  <si>
    <t>Jeżeli wiek = mlody oraz astygmatyzm = nie oraz lzawienie = normalne to SOCZEWKI = miekkie</t>
  </si>
  <si>
    <t>Jeżeli wiek = prestarczy oraz astygmatyzm = nie oraz lzawienie = normalne to SOCZEWKI = miekkie</t>
  </si>
  <si>
    <t>Regula 6</t>
  </si>
  <si>
    <t>Regula 7</t>
  </si>
  <si>
    <t>Jeżeli wada = dalekowidz oraz astygmatyzm = nie   oraz lzawienie = normalne to SOCZEWKI = miekkie</t>
  </si>
  <si>
    <t>Jeżeli wada = krotkowidz oraz astygmatyzm = tak  oraz lzawienie = normalne to SOCZEWKI = twarde</t>
  </si>
  <si>
    <t>Regula 8</t>
  </si>
  <si>
    <t>Jeżeli wiek = starczy oraz wada = krotkowidz oraz astygmatyzm = nie  oraz lzawienie = normalne to SOCZEWKI = brak</t>
  </si>
  <si>
    <t>Jeżeli wiek = prestarczy oraz wada = dalekowidz oraz astygmatyzm = tak oraz lzawienie normalne to SOCZEWKI = brak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</si>
</sst>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0" xfId="0" applyFill="1"/>
    <xf numFmtId="0" fontId="0" fillId="5" borderId="0" xfId="0" applyFill="1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5" borderId="1" xfId="0" applyFill="1" applyBorder="1"/>
    <xf numFmtId="0" fontId="0" fillId="4" borderId="1" xfId="0" applyFill="1" applyBorder="1"/>
    <xf numFmtId="2" fontId="0" fillId="0" borderId="0" xfId="0" applyNumberForma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F2C2A-BCE0-4D67-820B-A6FB48BD6397}">
  <dimension ref="A1:W63"/>
  <sheetViews>
    <sheetView tabSelected="1" topLeftCell="K20" zoomScale="54" zoomScaleNormal="54" workbookViewId="0">
      <selection activeCell="E52" sqref="E52"/>
    </sheetView>
  </sheetViews>
  <sheetFormatPr defaultRowHeight="14.4" x14ac:dyDescent="0.3"/>
  <cols>
    <col min="1" max="1" width="3.109375" customWidth="1"/>
    <col min="2" max="2" width="15.109375" customWidth="1"/>
    <col min="3" max="3" width="14.33203125" customWidth="1"/>
    <col min="4" max="4" width="21" customWidth="1"/>
    <col min="5" max="5" width="17.33203125" customWidth="1"/>
    <col min="6" max="6" width="23.21875" customWidth="1"/>
    <col min="12" max="12" width="13.21875" customWidth="1"/>
    <col min="13" max="13" width="21.44140625" customWidth="1"/>
    <col min="14" max="14" width="17" customWidth="1"/>
    <col min="15" max="15" width="23.5546875" customWidth="1"/>
    <col min="16" max="16" width="17.109375" customWidth="1"/>
  </cols>
  <sheetData>
    <row r="1" spans="1:23" x14ac:dyDescent="0.3">
      <c r="B1" s="3" t="s">
        <v>0</v>
      </c>
      <c r="C1" s="3" t="s">
        <v>1</v>
      </c>
      <c r="D1" s="3" t="s">
        <v>2</v>
      </c>
      <c r="E1" s="3" t="s">
        <v>15</v>
      </c>
      <c r="F1" s="3" t="s">
        <v>16</v>
      </c>
      <c r="J1">
        <f>SUBTOTAL(3,A2:A23)</f>
        <v>22</v>
      </c>
    </row>
    <row r="2" spans="1:23" x14ac:dyDescent="0.3">
      <c r="A2" s="1">
        <v>1</v>
      </c>
      <c r="B2" s="4" t="s">
        <v>3</v>
      </c>
      <c r="C2" s="4" t="s">
        <v>4</v>
      </c>
      <c r="D2" s="4" t="s">
        <v>5</v>
      </c>
      <c r="E2" s="4" t="s">
        <v>6</v>
      </c>
      <c r="F2" s="5" t="s">
        <v>7</v>
      </c>
    </row>
    <row r="3" spans="1:23" x14ac:dyDescent="0.3">
      <c r="A3" s="2">
        <v>2</v>
      </c>
      <c r="B3" s="4" t="s">
        <v>3</v>
      </c>
      <c r="C3" s="4" t="s">
        <v>8</v>
      </c>
      <c r="D3" s="4" t="s">
        <v>9</v>
      </c>
      <c r="E3" s="4" t="s">
        <v>6</v>
      </c>
      <c r="F3" s="6" t="s">
        <v>10</v>
      </c>
    </row>
    <row r="4" spans="1:23" x14ac:dyDescent="0.3">
      <c r="A4" s="9">
        <v>3</v>
      </c>
      <c r="B4" s="4" t="s">
        <v>3</v>
      </c>
      <c r="C4" s="4" t="s">
        <v>8</v>
      </c>
      <c r="D4" s="4" t="s">
        <v>5</v>
      </c>
      <c r="E4" s="4" t="s">
        <v>11</v>
      </c>
      <c r="F4" s="7" t="s">
        <v>12</v>
      </c>
    </row>
    <row r="5" spans="1:23" x14ac:dyDescent="0.3">
      <c r="A5" s="9">
        <v>4</v>
      </c>
      <c r="B5" s="4" t="s">
        <v>3</v>
      </c>
      <c r="C5" s="4" t="s">
        <v>4</v>
      </c>
      <c r="D5" s="4" t="s">
        <v>9</v>
      </c>
      <c r="E5" s="4" t="s">
        <v>11</v>
      </c>
      <c r="F5" s="7" t="s">
        <v>12</v>
      </c>
    </row>
    <row r="6" spans="1:23" x14ac:dyDescent="0.3">
      <c r="A6" s="9">
        <v>5</v>
      </c>
      <c r="B6" s="4" t="s">
        <v>13</v>
      </c>
      <c r="C6" s="4" t="s">
        <v>4</v>
      </c>
      <c r="D6" s="4" t="s">
        <v>9</v>
      </c>
      <c r="E6" s="4" t="s">
        <v>11</v>
      </c>
      <c r="F6" s="7" t="s">
        <v>12</v>
      </c>
    </row>
    <row r="7" spans="1:23" x14ac:dyDescent="0.3">
      <c r="A7" s="12">
        <v>6</v>
      </c>
      <c r="B7" s="4" t="s">
        <v>13</v>
      </c>
      <c r="C7" s="4" t="s">
        <v>4</v>
      </c>
      <c r="D7" s="4" t="s">
        <v>5</v>
      </c>
      <c r="E7" s="4" t="s">
        <v>6</v>
      </c>
      <c r="F7" s="5" t="s">
        <v>7</v>
      </c>
    </row>
    <row r="8" spans="1:23" x14ac:dyDescent="0.3">
      <c r="A8" s="10">
        <v>7</v>
      </c>
      <c r="B8" s="4" t="s">
        <v>3</v>
      </c>
      <c r="C8" s="4" t="s">
        <v>4</v>
      </c>
      <c r="D8" s="4" t="s">
        <v>9</v>
      </c>
      <c r="E8" s="4" t="s">
        <v>6</v>
      </c>
      <c r="F8" s="6" t="s">
        <v>10</v>
      </c>
    </row>
    <row r="9" spans="1:23" x14ac:dyDescent="0.3">
      <c r="A9" s="9">
        <v>8</v>
      </c>
      <c r="B9" s="4" t="s">
        <v>14</v>
      </c>
      <c r="C9" s="4" t="s">
        <v>8</v>
      </c>
      <c r="D9" s="4" t="s">
        <v>9</v>
      </c>
      <c r="E9" s="4" t="s">
        <v>11</v>
      </c>
      <c r="F9" s="7" t="s">
        <v>12</v>
      </c>
      <c r="W9" s="8"/>
    </row>
    <row r="10" spans="1:23" x14ac:dyDescent="0.3">
      <c r="A10" s="9">
        <v>9</v>
      </c>
      <c r="B10" s="4" t="s">
        <v>13</v>
      </c>
      <c r="C10" s="4" t="s">
        <v>8</v>
      </c>
      <c r="D10" s="4" t="s">
        <v>5</v>
      </c>
      <c r="E10" s="4" t="s">
        <v>11</v>
      </c>
      <c r="F10" s="7" t="s">
        <v>12</v>
      </c>
      <c r="V10" s="8"/>
      <c r="W10" s="8"/>
    </row>
    <row r="11" spans="1:23" x14ac:dyDescent="0.3">
      <c r="A11" s="9">
        <v>10</v>
      </c>
      <c r="B11" s="4" t="s">
        <v>13</v>
      </c>
      <c r="C11" s="4" t="s">
        <v>8</v>
      </c>
      <c r="D11" s="4" t="s">
        <v>9</v>
      </c>
      <c r="E11" s="4" t="s">
        <v>11</v>
      </c>
      <c r="F11" s="7" t="s">
        <v>12</v>
      </c>
      <c r="V11" s="8"/>
      <c r="W11" s="8"/>
    </row>
    <row r="12" spans="1:23" x14ac:dyDescent="0.3">
      <c r="A12" s="9">
        <v>11</v>
      </c>
      <c r="B12" s="4" t="s">
        <v>13</v>
      </c>
      <c r="C12" s="4" t="s">
        <v>4</v>
      </c>
      <c r="D12" s="4" t="s">
        <v>5</v>
      </c>
      <c r="E12" s="4" t="s">
        <v>11</v>
      </c>
      <c r="F12" s="7" t="s">
        <v>12</v>
      </c>
      <c r="V12" s="8"/>
      <c r="W12" s="8"/>
    </row>
    <row r="13" spans="1:23" x14ac:dyDescent="0.3">
      <c r="A13" s="9">
        <v>12</v>
      </c>
      <c r="B13" s="4" t="s">
        <v>3</v>
      </c>
      <c r="C13" s="4" t="s">
        <v>8</v>
      </c>
      <c r="D13" s="4" t="s">
        <v>9</v>
      </c>
      <c r="E13" s="4" t="s">
        <v>11</v>
      </c>
      <c r="F13" s="7" t="s">
        <v>12</v>
      </c>
    </row>
    <row r="14" spans="1:23" x14ac:dyDescent="0.3">
      <c r="A14" s="10">
        <v>13</v>
      </c>
      <c r="B14" s="4" t="s">
        <v>14</v>
      </c>
      <c r="C14" s="4" t="s">
        <v>4</v>
      </c>
      <c r="D14" s="4" t="s">
        <v>9</v>
      </c>
      <c r="E14" s="4" t="s">
        <v>6</v>
      </c>
      <c r="F14" s="6" t="s">
        <v>10</v>
      </c>
    </row>
    <row r="15" spans="1:23" x14ac:dyDescent="0.3">
      <c r="A15" s="11">
        <v>14</v>
      </c>
      <c r="B15" s="4" t="s">
        <v>13</v>
      </c>
      <c r="C15" s="4" t="s">
        <v>8</v>
      </c>
      <c r="D15" s="4" t="s">
        <v>5</v>
      </c>
      <c r="E15" s="4" t="s">
        <v>6</v>
      </c>
      <c r="F15" s="5" t="s">
        <v>7</v>
      </c>
    </row>
    <row r="16" spans="1:23" x14ac:dyDescent="0.3">
      <c r="A16" s="13">
        <v>15</v>
      </c>
      <c r="B16" s="4" t="s">
        <v>14</v>
      </c>
      <c r="C16" s="4" t="s">
        <v>4</v>
      </c>
      <c r="D16" s="4" t="s">
        <v>5</v>
      </c>
      <c r="E16" s="4" t="s">
        <v>6</v>
      </c>
      <c r="F16" s="7" t="s">
        <v>12</v>
      </c>
    </row>
    <row r="17" spans="1:16" x14ac:dyDescent="0.3">
      <c r="A17" s="10">
        <v>16</v>
      </c>
      <c r="B17" s="4" t="s">
        <v>13</v>
      </c>
      <c r="C17" s="4" t="s">
        <v>4</v>
      </c>
      <c r="D17" s="4" t="s">
        <v>9</v>
      </c>
      <c r="E17" s="4" t="s">
        <v>6</v>
      </c>
      <c r="F17" s="6" t="s">
        <v>10</v>
      </c>
    </row>
    <row r="18" spans="1:16" x14ac:dyDescent="0.3">
      <c r="A18" s="9">
        <v>17</v>
      </c>
      <c r="B18" s="4" t="s">
        <v>3</v>
      </c>
      <c r="C18" s="4" t="s">
        <v>4</v>
      </c>
      <c r="D18" s="4" t="s">
        <v>5</v>
      </c>
      <c r="E18" s="4" t="s">
        <v>11</v>
      </c>
      <c r="F18" s="7" t="s">
        <v>12</v>
      </c>
    </row>
    <row r="19" spans="1:16" x14ac:dyDescent="0.3">
      <c r="A19" s="9">
        <v>18</v>
      </c>
      <c r="B19" s="4" t="s">
        <v>14</v>
      </c>
      <c r="C19" s="4" t="s">
        <v>4</v>
      </c>
      <c r="D19" s="4" t="s">
        <v>5</v>
      </c>
      <c r="E19" s="4" t="s">
        <v>11</v>
      </c>
      <c r="F19" s="7" t="s">
        <v>12</v>
      </c>
    </row>
    <row r="20" spans="1:16" x14ac:dyDescent="0.3">
      <c r="A20" s="9">
        <v>19</v>
      </c>
      <c r="B20" s="4" t="s">
        <v>14</v>
      </c>
      <c r="C20" s="4" t="s">
        <v>8</v>
      </c>
      <c r="D20" s="4" t="s">
        <v>5</v>
      </c>
      <c r="E20" s="4" t="s">
        <v>11</v>
      </c>
      <c r="F20" s="7" t="s">
        <v>12</v>
      </c>
    </row>
    <row r="21" spans="1:16" x14ac:dyDescent="0.3">
      <c r="A21" s="1">
        <v>20</v>
      </c>
      <c r="B21" s="4" t="s">
        <v>3</v>
      </c>
      <c r="C21" s="4" t="s">
        <v>8</v>
      </c>
      <c r="D21" s="4" t="s">
        <v>5</v>
      </c>
      <c r="E21" s="4" t="s">
        <v>6</v>
      </c>
      <c r="F21" s="5" t="s">
        <v>7</v>
      </c>
    </row>
    <row r="22" spans="1:16" x14ac:dyDescent="0.3">
      <c r="A22" s="11">
        <v>21</v>
      </c>
      <c r="B22" s="4" t="s">
        <v>14</v>
      </c>
      <c r="C22" s="4" t="s">
        <v>8</v>
      </c>
      <c r="D22" s="4" t="s">
        <v>5</v>
      </c>
      <c r="E22" s="4" t="s">
        <v>6</v>
      </c>
      <c r="F22" s="5" t="s">
        <v>7</v>
      </c>
    </row>
    <row r="23" spans="1:16" x14ac:dyDescent="0.3">
      <c r="A23" s="14">
        <v>22</v>
      </c>
      <c r="B23" s="4" t="s">
        <v>13</v>
      </c>
      <c r="C23" s="4" t="s">
        <v>8</v>
      </c>
      <c r="D23" s="4" t="s">
        <v>9</v>
      </c>
      <c r="E23" s="4" t="s">
        <v>6</v>
      </c>
      <c r="F23" s="7" t="s">
        <v>12</v>
      </c>
    </row>
    <row r="26" spans="1:16" x14ac:dyDescent="0.3">
      <c r="B26" s="1" t="s">
        <v>17</v>
      </c>
      <c r="C26" t="s">
        <v>32</v>
      </c>
      <c r="K26" s="12" t="s">
        <v>30</v>
      </c>
      <c r="L26" t="s">
        <v>33</v>
      </c>
    </row>
    <row r="27" spans="1:16" x14ac:dyDescent="0.3">
      <c r="D27" t="s">
        <v>22</v>
      </c>
      <c r="E27" t="s">
        <v>23</v>
      </c>
      <c r="F27" t="s">
        <v>24</v>
      </c>
      <c r="G27" t="s">
        <v>25</v>
      </c>
      <c r="K27" s="12"/>
      <c r="M27" t="s">
        <v>22</v>
      </c>
      <c r="N27" t="s">
        <v>23</v>
      </c>
      <c r="O27" t="s">
        <v>24</v>
      </c>
      <c r="P27" t="s">
        <v>25</v>
      </c>
    </row>
    <row r="28" spans="1:16" x14ac:dyDescent="0.3">
      <c r="B28" s="1" t="s">
        <v>18</v>
      </c>
      <c r="C28" t="s">
        <v>3</v>
      </c>
      <c r="D28">
        <v>2</v>
      </c>
      <c r="E28">
        <v>2</v>
      </c>
      <c r="F28">
        <f>D28/E28</f>
        <v>1</v>
      </c>
      <c r="G28" s="8">
        <f>(E28/$J$1)+SQRT(F28)</f>
        <v>1.0909090909090908</v>
      </c>
      <c r="K28" s="12" t="s">
        <v>18</v>
      </c>
      <c r="L28" t="s">
        <v>13</v>
      </c>
      <c r="M28">
        <v>2</v>
      </c>
      <c r="N28">
        <v>2</v>
      </c>
      <c r="O28" s="8">
        <f>M28/N28</f>
        <v>1</v>
      </c>
      <c r="P28" s="8">
        <f>(N28/$J$1)+SQRT(O28)</f>
        <v>1.0909090909090908</v>
      </c>
    </row>
    <row r="29" spans="1:16" x14ac:dyDescent="0.3">
      <c r="B29" s="1" t="s">
        <v>19</v>
      </c>
      <c r="C29" t="s">
        <v>4</v>
      </c>
      <c r="D29">
        <v>2</v>
      </c>
      <c r="E29">
        <v>3</v>
      </c>
      <c r="F29" s="8">
        <f>D29/E29</f>
        <v>0.66666666666666663</v>
      </c>
      <c r="G29" s="8">
        <f>(E29/$J$1)+SQRT(F29)</f>
        <v>0.95286021729136239</v>
      </c>
      <c r="K29" s="12" t="s">
        <v>19</v>
      </c>
      <c r="L29" t="s">
        <v>4</v>
      </c>
      <c r="M29">
        <v>2</v>
      </c>
      <c r="N29">
        <v>3</v>
      </c>
      <c r="O29" s="8">
        <f>M29/N29</f>
        <v>0.66666666666666663</v>
      </c>
      <c r="P29" s="8">
        <f>(N29/$J$1)+SQRT(O29)</f>
        <v>0.95286021729136239</v>
      </c>
    </row>
    <row r="30" spans="1:16" x14ac:dyDescent="0.3">
      <c r="B30" s="1" t="s">
        <v>20</v>
      </c>
      <c r="C30" t="s">
        <v>5</v>
      </c>
      <c r="D30">
        <v>5</v>
      </c>
      <c r="E30">
        <v>12</v>
      </c>
      <c r="F30" s="8">
        <f>D30/E30</f>
        <v>0.41666666666666669</v>
      </c>
      <c r="G30" s="8">
        <f>(E30/$J$1)+SQRT(F30)</f>
        <v>1.1909517698224481</v>
      </c>
      <c r="K30" s="12" t="s">
        <v>20</v>
      </c>
      <c r="L30" t="s">
        <v>5</v>
      </c>
      <c r="M30">
        <v>5</v>
      </c>
      <c r="N30">
        <v>12</v>
      </c>
      <c r="O30" s="8">
        <f>M30/N30</f>
        <v>0.41666666666666669</v>
      </c>
      <c r="P30" s="8">
        <f>(N30/$J$1)+SQRT(O30)</f>
        <v>1.1909517698224481</v>
      </c>
    </row>
    <row r="31" spans="1:16" x14ac:dyDescent="0.3">
      <c r="B31" s="1" t="s">
        <v>21</v>
      </c>
      <c r="C31" t="s">
        <v>6</v>
      </c>
      <c r="D31">
        <v>5</v>
      </c>
      <c r="E31">
        <v>6</v>
      </c>
      <c r="F31" s="8">
        <f>D31/E31</f>
        <v>0.83333333333333337</v>
      </c>
      <c r="G31" s="8">
        <f>(E31/$J$1)+SQRT(F31)</f>
        <v>1.1855982019025495</v>
      </c>
      <c r="K31" s="12" t="s">
        <v>21</v>
      </c>
      <c r="L31" t="s">
        <v>6</v>
      </c>
      <c r="M31">
        <v>5</v>
      </c>
      <c r="N31">
        <v>6</v>
      </c>
      <c r="O31" s="8">
        <f>M31/N31</f>
        <v>0.83333333333333337</v>
      </c>
      <c r="P31" s="8">
        <f>(N31/$J$1)+SQRT(O31)</f>
        <v>1.1855982019025495</v>
      </c>
    </row>
    <row r="34" spans="2:16" x14ac:dyDescent="0.3">
      <c r="B34" s="2" t="s">
        <v>26</v>
      </c>
      <c r="C34" t="s">
        <v>27</v>
      </c>
      <c r="K34" s="10" t="s">
        <v>31</v>
      </c>
      <c r="L34" t="s">
        <v>37</v>
      </c>
    </row>
    <row r="35" spans="2:16" x14ac:dyDescent="0.3">
      <c r="D35" t="s">
        <v>22</v>
      </c>
      <c r="E35" t="s">
        <v>23</v>
      </c>
      <c r="F35" t="s">
        <v>24</v>
      </c>
      <c r="G35" t="s">
        <v>25</v>
      </c>
      <c r="K35" s="10"/>
      <c r="M35" t="s">
        <v>22</v>
      </c>
      <c r="N35" t="s">
        <v>23</v>
      </c>
      <c r="O35" t="s">
        <v>24</v>
      </c>
      <c r="P35" t="s">
        <v>25</v>
      </c>
    </row>
    <row r="36" spans="2:16" x14ac:dyDescent="0.3">
      <c r="B36" s="2" t="s">
        <v>18</v>
      </c>
      <c r="C36" t="s">
        <v>3</v>
      </c>
      <c r="D36">
        <v>2</v>
      </c>
      <c r="E36">
        <v>2</v>
      </c>
      <c r="F36">
        <f>D36/E36</f>
        <v>1</v>
      </c>
      <c r="G36" s="8">
        <f>(E36/$J$1)+SQRT(F36)</f>
        <v>1.0909090909090908</v>
      </c>
      <c r="K36" s="10" t="s">
        <v>18</v>
      </c>
      <c r="L36" t="s">
        <v>14</v>
      </c>
      <c r="M36">
        <v>1</v>
      </c>
      <c r="N36">
        <v>2</v>
      </c>
      <c r="O36" s="8">
        <f>M36/N36</f>
        <v>0.5</v>
      </c>
      <c r="P36" s="8">
        <f>(N36/$J$1)+SQRT(O36)</f>
        <v>0.79801587209563851</v>
      </c>
    </row>
    <row r="37" spans="2:16" x14ac:dyDescent="0.3">
      <c r="B37" s="2" t="s">
        <v>19</v>
      </c>
      <c r="C37" t="s">
        <v>8</v>
      </c>
      <c r="D37">
        <v>1</v>
      </c>
      <c r="E37">
        <v>2</v>
      </c>
      <c r="F37" s="8">
        <f>D37/E37</f>
        <v>0.5</v>
      </c>
      <c r="G37" s="8">
        <f>(E37/$J$1)+SQRT(F37)</f>
        <v>0.79801587209563851</v>
      </c>
      <c r="K37" s="10" t="s">
        <v>19</v>
      </c>
      <c r="L37" t="s">
        <v>4</v>
      </c>
      <c r="M37">
        <v>3</v>
      </c>
      <c r="N37">
        <v>6</v>
      </c>
      <c r="O37" s="8">
        <f>M37/N37</f>
        <v>0.5</v>
      </c>
      <c r="P37" s="8">
        <f>(N37/$J$1)+SQRT(O37)</f>
        <v>0.97983405391382028</v>
      </c>
    </row>
    <row r="38" spans="2:16" x14ac:dyDescent="0.3">
      <c r="B38" s="2" t="s">
        <v>20</v>
      </c>
      <c r="C38" t="s">
        <v>9</v>
      </c>
      <c r="D38">
        <v>4</v>
      </c>
      <c r="E38">
        <v>5</v>
      </c>
      <c r="F38" s="8">
        <f>D38/E38</f>
        <v>0.8</v>
      </c>
      <c r="G38" s="8">
        <f>(E38/$J$1)+SQRT(F38)</f>
        <v>1.121699918272643</v>
      </c>
      <c r="K38" s="10" t="s">
        <v>20</v>
      </c>
      <c r="L38" t="s">
        <v>9</v>
      </c>
      <c r="M38">
        <v>3</v>
      </c>
      <c r="N38">
        <v>3</v>
      </c>
      <c r="O38" s="8">
        <f>M38/N38</f>
        <v>1</v>
      </c>
      <c r="P38" s="8">
        <f>(N38/$J$1)+SQRT(O38)</f>
        <v>1.1363636363636362</v>
      </c>
    </row>
    <row r="39" spans="2:16" x14ac:dyDescent="0.3">
      <c r="B39" s="2" t="s">
        <v>21</v>
      </c>
      <c r="C39" t="s">
        <v>6</v>
      </c>
      <c r="D39">
        <v>4</v>
      </c>
      <c r="E39">
        <v>11</v>
      </c>
      <c r="F39" s="8">
        <f>D39/E39</f>
        <v>0.36363636363636365</v>
      </c>
      <c r="G39" s="8">
        <f>(E39/$J$1)+SQRT(F39)</f>
        <v>1.1030226891555273</v>
      </c>
      <c r="K39" s="10" t="s">
        <v>21</v>
      </c>
      <c r="L39" t="s">
        <v>6</v>
      </c>
      <c r="M39">
        <v>4</v>
      </c>
      <c r="N39">
        <v>11</v>
      </c>
      <c r="O39" s="8">
        <f>M39/N39</f>
        <v>0.36363636363636365</v>
      </c>
      <c r="P39" s="8">
        <f>(N39/$J$1)+SQRT(O39)</f>
        <v>1.1030226891555273</v>
      </c>
    </row>
    <row r="42" spans="2:16" x14ac:dyDescent="0.3">
      <c r="B42" s="9" t="s">
        <v>28</v>
      </c>
      <c r="C42" t="s">
        <v>29</v>
      </c>
      <c r="K42" s="11" t="s">
        <v>34</v>
      </c>
      <c r="L42" t="s">
        <v>36</v>
      </c>
    </row>
    <row r="43" spans="2:16" x14ac:dyDescent="0.3">
      <c r="B43" s="9"/>
      <c r="D43" t="s">
        <v>22</v>
      </c>
      <c r="E43" t="s">
        <v>23</v>
      </c>
      <c r="F43" t="s">
        <v>24</v>
      </c>
      <c r="G43" t="s">
        <v>25</v>
      </c>
      <c r="K43" s="11"/>
      <c r="M43" t="s">
        <v>22</v>
      </c>
      <c r="N43" t="s">
        <v>23</v>
      </c>
      <c r="O43" t="s">
        <v>24</v>
      </c>
      <c r="P43" t="s">
        <v>25</v>
      </c>
    </row>
    <row r="44" spans="2:16" x14ac:dyDescent="0.3">
      <c r="B44" s="9" t="s">
        <v>18</v>
      </c>
      <c r="C44" t="s">
        <v>3</v>
      </c>
      <c r="D44">
        <v>4</v>
      </c>
      <c r="E44">
        <v>8</v>
      </c>
      <c r="F44">
        <f>D44/E44</f>
        <v>0.5</v>
      </c>
      <c r="G44" s="8">
        <f>(E44/$J$1)+SQRT(F44)</f>
        <v>1.0707431448229112</v>
      </c>
      <c r="K44" s="11" t="s">
        <v>18</v>
      </c>
      <c r="L44" t="s">
        <v>13</v>
      </c>
      <c r="M44">
        <v>2</v>
      </c>
      <c r="N44">
        <v>2</v>
      </c>
      <c r="O44" s="8">
        <f>M44/N44</f>
        <v>1</v>
      </c>
      <c r="P44" s="8">
        <f>(N44/$J$1)+SQRT(O44)</f>
        <v>1.0909090909090908</v>
      </c>
    </row>
    <row r="45" spans="2:16" x14ac:dyDescent="0.3">
      <c r="B45" s="9" t="s">
        <v>19</v>
      </c>
      <c r="C45" t="s">
        <v>8</v>
      </c>
      <c r="D45">
        <v>7</v>
      </c>
      <c r="E45">
        <v>11</v>
      </c>
      <c r="F45" s="8">
        <f>D45/E45</f>
        <v>0.63636363636363635</v>
      </c>
      <c r="G45" s="8">
        <f>(E45/$J$1)+SQRT(F45)</f>
        <v>1.2977240352174655</v>
      </c>
      <c r="K45" s="11" t="s">
        <v>19</v>
      </c>
      <c r="L45" t="s">
        <v>8</v>
      </c>
      <c r="M45">
        <v>3</v>
      </c>
      <c r="N45">
        <v>3</v>
      </c>
      <c r="O45" s="8">
        <f>M45/N45</f>
        <v>1</v>
      </c>
      <c r="P45" s="8">
        <f>(N45/$J$1)+SQRT(O45)</f>
        <v>1.1363636363636362</v>
      </c>
    </row>
    <row r="46" spans="2:16" x14ac:dyDescent="0.3">
      <c r="B46" s="9" t="s">
        <v>20</v>
      </c>
      <c r="C46" t="s">
        <v>5</v>
      </c>
      <c r="D46">
        <v>7</v>
      </c>
      <c r="E46">
        <v>12</v>
      </c>
      <c r="F46" s="8">
        <f>D46/E46</f>
        <v>0.58333333333333337</v>
      </c>
      <c r="G46" s="8">
        <f>(E46/$J$1)+SQRT(F46)</f>
        <v>1.3092171612805188</v>
      </c>
      <c r="K46" s="11" t="s">
        <v>20</v>
      </c>
      <c r="L46" t="s">
        <v>5</v>
      </c>
      <c r="M46">
        <v>5</v>
      </c>
      <c r="N46">
        <v>12</v>
      </c>
      <c r="O46" s="8">
        <f>M46/N46</f>
        <v>0.41666666666666669</v>
      </c>
      <c r="P46" s="8">
        <f>(N46/$J$1)+SQRT(O46)</f>
        <v>1.1909517698224481</v>
      </c>
    </row>
    <row r="47" spans="2:16" x14ac:dyDescent="0.3">
      <c r="B47" s="9" t="s">
        <v>21</v>
      </c>
      <c r="C47" t="s">
        <v>11</v>
      </c>
      <c r="D47">
        <v>11</v>
      </c>
      <c r="E47">
        <v>11</v>
      </c>
      <c r="F47" s="8">
        <f>D47/E47</f>
        <v>1</v>
      </c>
      <c r="G47" s="8">
        <f>(E47/$J$1)+SQRT(F47)</f>
        <v>1.5</v>
      </c>
      <c r="K47" s="11" t="s">
        <v>21</v>
      </c>
      <c r="L47" t="s">
        <v>6</v>
      </c>
      <c r="M47">
        <v>5</v>
      </c>
      <c r="N47">
        <v>6</v>
      </c>
      <c r="O47" s="8">
        <f>M47/N47</f>
        <v>0.83333333333333337</v>
      </c>
      <c r="P47" s="8">
        <f>(N47/$J$1)+SQRT(O47)</f>
        <v>1.1855982019025495</v>
      </c>
    </row>
    <row r="50" spans="11:16" x14ac:dyDescent="0.3">
      <c r="K50" s="13" t="s">
        <v>35</v>
      </c>
      <c r="L50" t="s">
        <v>39</v>
      </c>
    </row>
    <row r="51" spans="11:16" x14ac:dyDescent="0.3">
      <c r="K51" s="13"/>
      <c r="M51" t="s">
        <v>22</v>
      </c>
      <c r="N51" t="s">
        <v>23</v>
      </c>
      <c r="O51" t="s">
        <v>24</v>
      </c>
      <c r="P51" t="s">
        <v>25</v>
      </c>
    </row>
    <row r="52" spans="11:16" x14ac:dyDescent="0.3">
      <c r="K52" s="13" t="s">
        <v>18</v>
      </c>
      <c r="L52" t="s">
        <v>14</v>
      </c>
      <c r="M52">
        <v>2</v>
      </c>
      <c r="N52">
        <v>2</v>
      </c>
      <c r="O52" s="8">
        <f>M52/N52</f>
        <v>1</v>
      </c>
      <c r="P52" s="8">
        <f>(N52/$J$1)+SQRT(O52)</f>
        <v>1.0909090909090908</v>
      </c>
    </row>
    <row r="53" spans="11:16" x14ac:dyDescent="0.3">
      <c r="K53" s="13" t="s">
        <v>19</v>
      </c>
      <c r="L53" t="s">
        <v>4</v>
      </c>
      <c r="M53">
        <v>4</v>
      </c>
      <c r="N53">
        <v>6</v>
      </c>
      <c r="O53" s="8">
        <f>M53/N53</f>
        <v>0.66666666666666663</v>
      </c>
      <c r="P53" s="8">
        <f>(N53/$J$1)+SQRT(O53)</f>
        <v>1.0892238536549987</v>
      </c>
    </row>
    <row r="54" spans="11:16" x14ac:dyDescent="0.3">
      <c r="K54" s="13" t="s">
        <v>20</v>
      </c>
      <c r="L54" t="s">
        <v>5</v>
      </c>
      <c r="M54">
        <v>7</v>
      </c>
      <c r="N54">
        <v>12</v>
      </c>
      <c r="O54" s="8">
        <f>M54/N54</f>
        <v>0.58333333333333337</v>
      </c>
      <c r="P54" s="8">
        <f>(N54/$J$1)+SQRT(O54)</f>
        <v>1.3092171612805188</v>
      </c>
    </row>
    <row r="55" spans="11:16" x14ac:dyDescent="0.3">
      <c r="K55" s="13" t="s">
        <v>21</v>
      </c>
      <c r="L55" t="s">
        <v>6</v>
      </c>
      <c r="M55">
        <v>1</v>
      </c>
      <c r="N55">
        <v>3</v>
      </c>
      <c r="O55" s="8">
        <f>M55/N55</f>
        <v>0.33333333333333331</v>
      </c>
      <c r="P55" s="8">
        <f>(N55/$J$1)+SQRT(O55)</f>
        <v>0.71371390555326208</v>
      </c>
    </row>
    <row r="56" spans="11:16" x14ac:dyDescent="0.3">
      <c r="O56" s="8"/>
      <c r="P56" s="8"/>
    </row>
    <row r="57" spans="11:16" x14ac:dyDescent="0.3">
      <c r="O57" s="8"/>
      <c r="P57" s="8"/>
    </row>
    <row r="58" spans="11:16" x14ac:dyDescent="0.3">
      <c r="K58" s="14" t="s">
        <v>38</v>
      </c>
      <c r="L58" t="s">
        <v>40</v>
      </c>
    </row>
    <row r="59" spans="11:16" x14ac:dyDescent="0.3">
      <c r="K59" s="14"/>
      <c r="M59" t="s">
        <v>22</v>
      </c>
      <c r="N59" t="s">
        <v>23</v>
      </c>
      <c r="O59" t="s">
        <v>24</v>
      </c>
      <c r="P59" t="s">
        <v>25</v>
      </c>
    </row>
    <row r="60" spans="11:16" x14ac:dyDescent="0.3">
      <c r="K60" s="14" t="s">
        <v>18</v>
      </c>
      <c r="L60" t="s">
        <v>13</v>
      </c>
      <c r="M60">
        <v>2</v>
      </c>
      <c r="N60">
        <v>2</v>
      </c>
      <c r="O60" s="8">
        <f>M60/N60</f>
        <v>1</v>
      </c>
      <c r="P60" s="8">
        <f>(N60/$J$1)+SQRT(O60)</f>
        <v>1.0909090909090908</v>
      </c>
    </row>
    <row r="61" spans="11:16" x14ac:dyDescent="0.3">
      <c r="K61" s="14" t="s">
        <v>19</v>
      </c>
      <c r="L61" t="s">
        <v>8</v>
      </c>
      <c r="M61">
        <v>7</v>
      </c>
      <c r="N61">
        <v>11</v>
      </c>
      <c r="O61" s="8">
        <f>M61/N61</f>
        <v>0.63636363636363635</v>
      </c>
      <c r="P61" s="8">
        <f>(N61/$J$1)+SQRT(O61)</f>
        <v>1.2977240352174655</v>
      </c>
    </row>
    <row r="62" spans="11:16" x14ac:dyDescent="0.3">
      <c r="K62" s="14" t="s">
        <v>20</v>
      </c>
      <c r="L62" t="s">
        <v>9</v>
      </c>
      <c r="M62">
        <v>4</v>
      </c>
      <c r="N62">
        <v>5</v>
      </c>
      <c r="O62" s="8">
        <f>M62/N62</f>
        <v>0.8</v>
      </c>
      <c r="P62" s="8">
        <f>(N62/$J$1)+SQRT(O62)</f>
        <v>1.121699918272643</v>
      </c>
    </row>
    <row r="63" spans="11:16" x14ac:dyDescent="0.3">
      <c r="K63" s="14" t="s">
        <v>21</v>
      </c>
      <c r="L63" t="s">
        <v>6</v>
      </c>
      <c r="M63">
        <v>1</v>
      </c>
      <c r="N63">
        <v>2</v>
      </c>
      <c r="O63" s="8">
        <f>M63/N63</f>
        <v>0.5</v>
      </c>
      <c r="P63" s="8">
        <f>(N63/$J$1)+SQRT(O63)</f>
        <v>0.79801587209563851</v>
      </c>
    </row>
  </sheetData>
  <autoFilter ref="B1:F23" xr:uid="{365F2C2A-BCE0-4D67-820B-A6FB48BD639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andriy302007@gmail.com</dc:creator>
  <cp:lastModifiedBy>andriy302007@gmail.com</cp:lastModifiedBy>
  <dcterms:created xsi:type="dcterms:W3CDTF">2026-03-25T11:33:07Z</dcterms:created>
  <dcterms:modified xsi:type="dcterms:W3CDTF">2026-03-26T02:23:52Z</dcterms:modified>
</cp:coreProperties>
</file>